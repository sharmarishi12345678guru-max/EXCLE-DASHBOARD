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6815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F18" i="1" s="1"/>
  <c r="H17" i="1" l="1"/>
  <c r="L17" i="1"/>
  <c r="H15" i="1"/>
  <c r="L15" i="1"/>
  <c r="H13" i="1"/>
  <c r="L13" i="1"/>
  <c r="H11" i="1"/>
  <c r="J11" i="1" s="1"/>
  <c r="L11" i="1"/>
  <c r="H9" i="1"/>
  <c r="L9" i="1"/>
  <c r="H7" i="1"/>
  <c r="L7" i="1"/>
  <c r="H5" i="1"/>
  <c r="L5" i="1"/>
  <c r="H3" i="1"/>
  <c r="J3" i="1" s="1"/>
  <c r="L3" i="1"/>
  <c r="H16" i="1"/>
  <c r="L16" i="1"/>
  <c r="H14" i="1"/>
  <c r="L14" i="1"/>
  <c r="H12" i="1"/>
  <c r="L12" i="1"/>
  <c r="H10" i="1"/>
  <c r="L10" i="1"/>
  <c r="H8" i="1"/>
  <c r="J8" i="1" s="1"/>
  <c r="L8" i="1"/>
  <c r="H6" i="1"/>
  <c r="J6" i="1" s="1"/>
  <c r="L6" i="1"/>
  <c r="H4" i="1"/>
  <c r="L4" i="1"/>
  <c r="H2" i="1"/>
  <c r="L2" i="1"/>
  <c r="L18" i="1" s="1"/>
  <c r="J16" i="1"/>
  <c r="J14" i="1"/>
  <c r="J15" i="1"/>
  <c r="J7" i="1"/>
  <c r="J2" i="1" l="1"/>
  <c r="H18" i="1"/>
  <c r="J5" i="1"/>
  <c r="J9" i="1"/>
  <c r="J13" i="1"/>
  <c r="J17" i="1"/>
  <c r="J10" i="1"/>
  <c r="J4" i="1"/>
  <c r="J12" i="1"/>
  <c r="I2" i="1"/>
  <c r="I4" i="1"/>
  <c r="I6" i="1"/>
  <c r="K6" i="1" s="1"/>
  <c r="I8" i="1"/>
  <c r="K8" i="1" s="1"/>
  <c r="I10" i="1"/>
  <c r="I12" i="1"/>
  <c r="K12" i="1" s="1"/>
  <c r="I14" i="1"/>
  <c r="K14" i="1" s="1"/>
  <c r="I16" i="1"/>
  <c r="K16" i="1" s="1"/>
  <c r="I3" i="1"/>
  <c r="K3" i="1" s="1"/>
  <c r="I5" i="1"/>
  <c r="K5" i="1" s="1"/>
  <c r="I7" i="1"/>
  <c r="K7" i="1" s="1"/>
  <c r="I9" i="1"/>
  <c r="I11" i="1"/>
  <c r="K11" i="1" s="1"/>
  <c r="I13" i="1"/>
  <c r="K13" i="1" s="1"/>
  <c r="I15" i="1"/>
  <c r="K15" i="1" s="1"/>
  <c r="I17" i="1"/>
  <c r="K2" i="1" l="1"/>
  <c r="I18" i="1"/>
  <c r="J18" i="1"/>
  <c r="K10" i="1"/>
  <c r="M4" i="1"/>
  <c r="M5" i="1"/>
  <c r="M12" i="1"/>
  <c r="M17" i="1"/>
  <c r="M9" i="1"/>
  <c r="M13" i="1"/>
  <c r="M16" i="1"/>
  <c r="M8" i="1"/>
  <c r="K17" i="1"/>
  <c r="K9" i="1"/>
  <c r="K4" i="1"/>
  <c r="M15" i="1"/>
  <c r="M11" i="1"/>
  <c r="M7" i="1"/>
  <c r="M3" i="1"/>
  <c r="M14" i="1"/>
  <c r="M10" i="1"/>
  <c r="M6" i="1"/>
  <c r="M2" i="1"/>
  <c r="M18" i="1" l="1"/>
  <c r="K18" i="1"/>
</calcChain>
</file>

<file path=xl/sharedStrings.xml><?xml version="1.0" encoding="utf-8"?>
<sst xmlns="http://schemas.openxmlformats.org/spreadsheetml/2006/main" count="46" uniqueCount="32">
  <si>
    <t>serial no</t>
  </si>
  <si>
    <t>supplier name</t>
  </si>
  <si>
    <t>product name</t>
  </si>
  <si>
    <t>date of purches</t>
  </si>
  <si>
    <t>date of exipary</t>
  </si>
  <si>
    <t>Qty</t>
  </si>
  <si>
    <t>cost price</t>
  </si>
  <si>
    <t>tootal amount</t>
  </si>
  <si>
    <t>CGST(12%)</t>
  </si>
  <si>
    <t>SGST(8%)</t>
  </si>
  <si>
    <t>Amount of GST</t>
  </si>
  <si>
    <t>RS SUPPLIER</t>
  </si>
  <si>
    <t>DC SUPPLIER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</si>
  <si>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</si>
  <si>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</si>
  <si>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</si>
  <si>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</si>
  <si>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</si>
  <si>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</si>
  <si>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</si>
  <si>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</si>
  <si>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</si>
  <si>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</si>
  <si>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</si>
  <si>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</si>
  <si>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</si>
  <si>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</si>
  <si>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</si>
  <si>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</si>
  <si>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selling price</t>
  </si>
  <si>
    <t>total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</si>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</sst>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2" borderId="0" xfId="0" applyFont="1" applyFill="1"/>
    <xf numFmtId="14" fontId="1" fillId="0" borderId="0" xfId="0" applyNumberFormat="1" applyFont="1"/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zoomScaleNormal="100" workbookViewId="0">
      <selection activeCell="N15" sqref="N15"/>
    </sheetView>
  </sheetViews>
  <sheetFormatPr defaultRowHeight="15" x14ac:dyDescent="0.25"/>
  <cols>
    <col min="1" max="1" width="9.140625" style="7"/>
    <col min="2" max="2" width="14.140625" style="3" customWidth="1"/>
    <col min="3" max="3" width="13.42578125" style="3" customWidth="1"/>
    <col min="4" max="4" width="15.5703125" style="3" customWidth="1"/>
    <col min="5" max="5" width="14.5703125" style="7" customWidth="1"/>
    <col min="6" max="6" width="9.140625" style="3"/>
    <col min="7" max="7" width="11.42578125" style="3" customWidth="1"/>
    <col min="8" max="8" width="13.7109375" style="3" customWidth="1"/>
    <col min="9" max="9" width="10.85546875" style="3" customWidth="1"/>
    <col min="10" max="10" width="9.85546875" style="3" customWidth="1"/>
    <col min="11" max="11" width="15.28515625" style="3" customWidth="1"/>
    <col min="12" max="12" width="11.85546875" style="11" customWidth="1"/>
    <col min="13" max="13" width="10.28515625" customWidth="1"/>
  </cols>
  <sheetData>
    <row r="1" spans="1:13" s="1" customFormat="1" x14ac:dyDescent="0.25">
      <c r="A1" s="5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0" t="s">
        <v>29</v>
      </c>
      <c r="M1" s="1" t="s">
        <v>30</v>
      </c>
    </row>
    <row r="2" spans="1:13" x14ac:dyDescent="0.25">
      <c r="A2" s="9">
        <v>1</v>
      </c>
      <c r="B2" s="3" t="s">
        <v>11</v>
      </c>
      <c r="C2" s="3" t="s">
        <v>13</v>
      </c>
      <c r="D2" s="4">
        <v>46193</v>
      </c>
      <c r="E2" s="6">
        <v>46254</v>
      </c>
      <c r="F2" s="3">
        <f ca="1">RANDBETWEEN(20,30)</f>
        <v>28</v>
      </c>
      <c r="G2" s="3">
        <v>270</v>
      </c>
      <c r="H2" s="3">
        <f ca="1">F2*G2</f>
        <v>7560</v>
      </c>
      <c r="I2" s="3">
        <f ca="1">H2*12%</f>
        <v>907.19999999999993</v>
      </c>
      <c r="J2" s="8">
        <f ca="1">H2*8%</f>
        <v>604.80000000000007</v>
      </c>
      <c r="K2" s="3">
        <f ca="1">SUM(H2:J2)</f>
        <v>9072</v>
      </c>
      <c r="L2" s="11">
        <f ca="1">G2*F2</f>
        <v>7560</v>
      </c>
      <c r="M2">
        <f ca="1">SUM(H2:J2)</f>
        <v>9072</v>
      </c>
    </row>
    <row r="3" spans="1:13" x14ac:dyDescent="0.25">
      <c r="A3" s="3">
        <v>2</v>
      </c>
      <c r="B3" s="3" t="s">
        <v>11</v>
      </c>
      <c r="C3" s="3" t="s">
        <v>14</v>
      </c>
      <c r="D3" s="4">
        <v>46193</v>
      </c>
      <c r="E3" s="6">
        <v>46254</v>
      </c>
      <c r="F3" s="3">
        <f t="shared" ref="F3:F17" ca="1" si="0">RANDBETWEEN(20,30)</f>
        <v>20</v>
      </c>
      <c r="G3" s="3">
        <v>271</v>
      </c>
      <c r="H3" s="3">
        <f t="shared" ref="H3:H17" ca="1" si="1">F3*G3</f>
        <v>5420</v>
      </c>
      <c r="I3" s="3">
        <f t="shared" ref="I3:I17" ca="1" si="2">H3*12%</f>
        <v>650.4</v>
      </c>
      <c r="J3" s="8">
        <f t="shared" ref="J3:J17" ca="1" si="3">H3*8%</f>
        <v>433.6</v>
      </c>
      <c r="K3" s="3">
        <f t="shared" ref="K3:K17" ca="1" si="4">SUM(H3:J3)</f>
        <v>6504</v>
      </c>
      <c r="L3" s="11">
        <f t="shared" ref="L3:L17" ca="1" si="5">G3*F3</f>
        <v>5420</v>
      </c>
      <c r="M3">
        <f t="shared" ref="M3:M17" ca="1" si="6">SUM(H3:J3)</f>
        <v>6504</v>
      </c>
    </row>
    <row r="4" spans="1:13" x14ac:dyDescent="0.25">
      <c r="A4" s="3">
        <v>3</v>
      </c>
      <c r="B4" s="3" t="s">
        <v>11</v>
      </c>
      <c r="C4" s="3" t="s">
        <v>15</v>
      </c>
      <c r="D4" s="4">
        <v>46193</v>
      </c>
      <c r="E4" s="6">
        <v>46254</v>
      </c>
      <c r="F4" s="3">
        <f t="shared" ca="1" si="0"/>
        <v>29</v>
      </c>
      <c r="G4" s="3">
        <v>272</v>
      </c>
      <c r="H4" s="3">
        <f t="shared" ca="1" si="1"/>
        <v>7888</v>
      </c>
      <c r="I4" s="3">
        <f t="shared" ca="1" si="2"/>
        <v>946.56</v>
      </c>
      <c r="J4" s="8">
        <f t="shared" ca="1" si="3"/>
        <v>631.04</v>
      </c>
      <c r="K4" s="3">
        <f t="shared" ca="1" si="4"/>
        <v>9465.5999999999985</v>
      </c>
      <c r="L4" s="11">
        <f t="shared" ca="1" si="5"/>
        <v>7888</v>
      </c>
      <c r="M4">
        <f t="shared" ca="1" si="6"/>
        <v>9465.5999999999985</v>
      </c>
    </row>
    <row r="5" spans="1:13" x14ac:dyDescent="0.25">
      <c r="A5" s="3">
        <v>4</v>
      </c>
      <c r="B5" s="3" t="s">
        <v>11</v>
      </c>
      <c r="C5" s="3" t="s">
        <v>16</v>
      </c>
      <c r="D5" s="4">
        <v>46193</v>
      </c>
      <c r="E5" s="6">
        <v>46254</v>
      </c>
      <c r="F5" s="3">
        <f t="shared" ca="1" si="0"/>
        <v>26</v>
      </c>
      <c r="G5" s="3">
        <v>273</v>
      </c>
      <c r="H5" s="3">
        <f t="shared" ca="1" si="1"/>
        <v>7098</v>
      </c>
      <c r="I5" s="8">
        <f t="shared" ca="1" si="2"/>
        <v>851.76</v>
      </c>
      <c r="J5" s="8">
        <f t="shared" ca="1" si="3"/>
        <v>567.84</v>
      </c>
      <c r="K5" s="3">
        <f t="shared" ca="1" si="4"/>
        <v>8517.6</v>
      </c>
      <c r="L5" s="11">
        <f t="shared" ca="1" si="5"/>
        <v>7098</v>
      </c>
      <c r="M5">
        <f t="shared" ca="1" si="6"/>
        <v>8517.6</v>
      </c>
    </row>
    <row r="6" spans="1:13" x14ac:dyDescent="0.25">
      <c r="A6" s="3">
        <v>5</v>
      </c>
      <c r="B6" s="3" t="s">
        <v>11</v>
      </c>
      <c r="C6" s="3" t="s">
        <v>17</v>
      </c>
      <c r="D6" s="4">
        <v>46193</v>
      </c>
      <c r="E6" s="6">
        <v>46254</v>
      </c>
      <c r="F6" s="3">
        <f t="shared" ca="1" si="0"/>
        <v>28</v>
      </c>
      <c r="G6" s="3">
        <v>274</v>
      </c>
      <c r="H6" s="3">
        <f t="shared" ca="1" si="1"/>
        <v>7672</v>
      </c>
      <c r="I6" s="8">
        <f t="shared" ca="1" si="2"/>
        <v>920.64</v>
      </c>
      <c r="J6" s="8">
        <f t="shared" ca="1" si="3"/>
        <v>613.76</v>
      </c>
      <c r="K6" s="3">
        <f t="shared" ca="1" si="4"/>
        <v>9206.4</v>
      </c>
      <c r="L6" s="11">
        <f t="shared" ca="1" si="5"/>
        <v>7672</v>
      </c>
      <c r="M6">
        <f t="shared" ca="1" si="6"/>
        <v>9206.4</v>
      </c>
    </row>
    <row r="7" spans="1:13" x14ac:dyDescent="0.25">
      <c r="A7" s="3">
        <v>6</v>
      </c>
      <c r="B7" s="3" t="s">
        <v>11</v>
      </c>
      <c r="C7" s="3" t="s">
        <v>18</v>
      </c>
      <c r="D7" s="4">
        <v>46193</v>
      </c>
      <c r="E7" s="6">
        <v>46254</v>
      </c>
      <c r="F7" s="3">
        <f t="shared" ca="1" si="0"/>
        <v>25</v>
      </c>
      <c r="G7" s="3">
        <v>275</v>
      </c>
      <c r="H7" s="3">
        <f t="shared" ca="1" si="1"/>
        <v>6875</v>
      </c>
      <c r="I7" s="3">
        <f t="shared" ca="1" si="2"/>
        <v>825</v>
      </c>
      <c r="J7" s="3">
        <f t="shared" ca="1" si="3"/>
        <v>550</v>
      </c>
      <c r="K7" s="3">
        <f t="shared" ca="1" si="4"/>
        <v>8250</v>
      </c>
      <c r="L7" s="11">
        <f t="shared" ca="1" si="5"/>
        <v>6875</v>
      </c>
      <c r="M7">
        <f t="shared" ca="1" si="6"/>
        <v>8250</v>
      </c>
    </row>
    <row r="8" spans="1:13" x14ac:dyDescent="0.25">
      <c r="A8" s="3">
        <v>7</v>
      </c>
      <c r="B8" s="3" t="s">
        <v>11</v>
      </c>
      <c r="C8" s="3" t="s">
        <v>19</v>
      </c>
      <c r="D8" s="4">
        <v>46193</v>
      </c>
      <c r="E8" s="6">
        <v>46254</v>
      </c>
      <c r="F8" s="3">
        <f t="shared" ca="1" si="0"/>
        <v>26</v>
      </c>
      <c r="G8" s="3">
        <v>276</v>
      </c>
      <c r="H8" s="3">
        <f t="shared" ca="1" si="1"/>
        <v>7176</v>
      </c>
      <c r="I8" s="8">
        <f t="shared" ca="1" si="2"/>
        <v>861.12</v>
      </c>
      <c r="J8" s="8">
        <f t="shared" ca="1" si="3"/>
        <v>574.08000000000004</v>
      </c>
      <c r="K8" s="3">
        <f t="shared" ca="1" si="4"/>
        <v>8611.2000000000007</v>
      </c>
      <c r="L8" s="11">
        <f t="shared" ca="1" si="5"/>
        <v>7176</v>
      </c>
      <c r="M8">
        <f t="shared" ca="1" si="6"/>
        <v>8611.2000000000007</v>
      </c>
    </row>
    <row r="9" spans="1:13" x14ac:dyDescent="0.25">
      <c r="A9" s="3">
        <v>8</v>
      </c>
      <c r="B9" s="3" t="s">
        <v>11</v>
      </c>
      <c r="C9" s="3" t="s">
        <v>20</v>
      </c>
      <c r="D9" s="4">
        <v>46193</v>
      </c>
      <c r="E9" s="6">
        <v>46254</v>
      </c>
      <c r="F9" s="3">
        <f t="shared" ca="1" si="0"/>
        <v>20</v>
      </c>
      <c r="G9" s="3">
        <v>277</v>
      </c>
      <c r="H9" s="3">
        <f t="shared" ca="1" si="1"/>
        <v>5540</v>
      </c>
      <c r="I9" s="8">
        <f t="shared" ca="1" si="2"/>
        <v>664.8</v>
      </c>
      <c r="J9" s="8">
        <f t="shared" ca="1" si="3"/>
        <v>443.2</v>
      </c>
      <c r="K9" s="3">
        <f t="shared" ca="1" si="4"/>
        <v>6648</v>
      </c>
      <c r="L9" s="11">
        <f t="shared" ca="1" si="5"/>
        <v>5540</v>
      </c>
      <c r="M9">
        <f t="shared" ca="1" si="6"/>
        <v>6648</v>
      </c>
    </row>
    <row r="10" spans="1:13" x14ac:dyDescent="0.25">
      <c r="A10" s="3">
        <v>9</v>
      </c>
      <c r="B10" s="3" t="s">
        <v>12</v>
      </c>
      <c r="C10" s="3" t="s">
        <v>21</v>
      </c>
      <c r="D10" s="4">
        <v>46198</v>
      </c>
      <c r="E10" s="6">
        <v>46259</v>
      </c>
      <c r="F10" s="3">
        <f t="shared" ca="1" si="0"/>
        <v>23</v>
      </c>
      <c r="G10" s="3">
        <v>278</v>
      </c>
      <c r="H10" s="3">
        <f t="shared" ca="1" si="1"/>
        <v>6394</v>
      </c>
      <c r="I10" s="8">
        <f t="shared" ca="1" si="2"/>
        <v>767.28</v>
      </c>
      <c r="J10" s="8">
        <f t="shared" ca="1" si="3"/>
        <v>511.52000000000004</v>
      </c>
      <c r="K10" s="3">
        <f t="shared" ca="1" si="4"/>
        <v>7672.8</v>
      </c>
      <c r="L10" s="11">
        <f t="shared" ca="1" si="5"/>
        <v>6394</v>
      </c>
      <c r="M10">
        <f t="shared" ca="1" si="6"/>
        <v>7672.8</v>
      </c>
    </row>
    <row r="11" spans="1:13" x14ac:dyDescent="0.25">
      <c r="A11" s="3">
        <v>10</v>
      </c>
      <c r="B11" s="3" t="s">
        <v>12</v>
      </c>
      <c r="C11" s="3" t="s">
        <v>22</v>
      </c>
      <c r="D11" s="4">
        <v>46198</v>
      </c>
      <c r="E11" s="6">
        <v>46259</v>
      </c>
      <c r="F11" s="3">
        <f t="shared" ca="1" si="0"/>
        <v>28</v>
      </c>
      <c r="G11" s="3">
        <v>279</v>
      </c>
      <c r="H11" s="3">
        <f t="shared" ca="1" si="1"/>
        <v>7812</v>
      </c>
      <c r="I11" s="8">
        <f t="shared" ca="1" si="2"/>
        <v>937.43999999999994</v>
      </c>
      <c r="J11" s="8">
        <f t="shared" ca="1" si="3"/>
        <v>624.96</v>
      </c>
      <c r="K11" s="3">
        <f t="shared" ca="1" si="4"/>
        <v>9374.4000000000015</v>
      </c>
      <c r="L11" s="11">
        <f t="shared" ca="1" si="5"/>
        <v>7812</v>
      </c>
      <c r="M11">
        <f t="shared" ca="1" si="6"/>
        <v>9374.4000000000015</v>
      </c>
    </row>
    <row r="12" spans="1:13" x14ac:dyDescent="0.25">
      <c r="A12" s="3">
        <v>11</v>
      </c>
      <c r="B12" s="3" t="s">
        <v>12</v>
      </c>
      <c r="C12" s="3" t="s">
        <v>23</v>
      </c>
      <c r="D12" s="4">
        <v>46198</v>
      </c>
      <c r="E12" s="6">
        <v>46259</v>
      </c>
      <c r="F12" s="3">
        <f t="shared" ca="1" si="0"/>
        <v>25</v>
      </c>
      <c r="G12" s="3">
        <v>280</v>
      </c>
      <c r="H12" s="3">
        <f t="shared" ca="1" si="1"/>
        <v>7000</v>
      </c>
      <c r="I12" s="8">
        <f t="shared" ca="1" si="2"/>
        <v>840</v>
      </c>
      <c r="J12" s="8">
        <f t="shared" ca="1" si="3"/>
        <v>560</v>
      </c>
      <c r="K12" s="3">
        <f t="shared" ca="1" si="4"/>
        <v>8400</v>
      </c>
      <c r="L12" s="11">
        <f t="shared" ca="1" si="5"/>
        <v>7000</v>
      </c>
      <c r="M12">
        <f t="shared" ca="1" si="6"/>
        <v>8400</v>
      </c>
    </row>
    <row r="13" spans="1:13" x14ac:dyDescent="0.25">
      <c r="A13" s="3">
        <v>12</v>
      </c>
      <c r="B13" s="3" t="s">
        <v>12</v>
      </c>
      <c r="C13" s="3" t="s">
        <v>24</v>
      </c>
      <c r="D13" s="4">
        <v>46198</v>
      </c>
      <c r="E13" s="6">
        <v>46259</v>
      </c>
      <c r="F13" s="3">
        <f t="shared" ca="1" si="0"/>
        <v>30</v>
      </c>
      <c r="G13" s="3">
        <v>281</v>
      </c>
      <c r="H13" s="3">
        <f t="shared" ca="1" si="1"/>
        <v>8430</v>
      </c>
      <c r="I13" s="8">
        <f t="shared" ca="1" si="2"/>
        <v>1011.5999999999999</v>
      </c>
      <c r="J13" s="8">
        <f t="shared" ca="1" si="3"/>
        <v>674.4</v>
      </c>
      <c r="K13" s="3">
        <f t="shared" ca="1" si="4"/>
        <v>10116</v>
      </c>
      <c r="L13" s="11">
        <f t="shared" ca="1" si="5"/>
        <v>8430</v>
      </c>
      <c r="M13">
        <f t="shared" ca="1" si="6"/>
        <v>10116</v>
      </c>
    </row>
    <row r="14" spans="1:13" x14ac:dyDescent="0.25">
      <c r="A14" s="3">
        <v>13</v>
      </c>
      <c r="B14" s="3" t="s">
        <v>12</v>
      </c>
      <c r="C14" s="3" t="s">
        <v>25</v>
      </c>
      <c r="D14" s="4">
        <v>46198</v>
      </c>
      <c r="E14" s="6">
        <v>46259</v>
      </c>
      <c r="F14" s="3">
        <f t="shared" ca="1" si="0"/>
        <v>21</v>
      </c>
      <c r="G14" s="3">
        <v>282</v>
      </c>
      <c r="H14" s="3">
        <f t="shared" ca="1" si="1"/>
        <v>5922</v>
      </c>
      <c r="I14" s="8">
        <f t="shared" ca="1" si="2"/>
        <v>710.64</v>
      </c>
      <c r="J14" s="8">
        <f t="shared" ca="1" si="3"/>
        <v>473.76</v>
      </c>
      <c r="K14" s="3">
        <f t="shared" ca="1" si="4"/>
        <v>7106.4000000000005</v>
      </c>
      <c r="L14" s="11">
        <f t="shared" ca="1" si="5"/>
        <v>5922</v>
      </c>
      <c r="M14">
        <f t="shared" ca="1" si="6"/>
        <v>7106.4000000000005</v>
      </c>
    </row>
    <row r="15" spans="1:13" x14ac:dyDescent="0.25">
      <c r="A15" s="3">
        <v>14</v>
      </c>
      <c r="B15" s="3" t="s">
        <v>12</v>
      </c>
      <c r="C15" s="3" t="s">
        <v>26</v>
      </c>
      <c r="D15" s="4">
        <v>46198</v>
      </c>
      <c r="E15" s="6">
        <v>46259</v>
      </c>
      <c r="F15" s="3">
        <f t="shared" ca="1" si="0"/>
        <v>24</v>
      </c>
      <c r="G15" s="3">
        <v>283</v>
      </c>
      <c r="H15" s="3">
        <f t="shared" ca="1" si="1"/>
        <v>6792</v>
      </c>
      <c r="I15" s="8">
        <f t="shared" ca="1" si="2"/>
        <v>815.04</v>
      </c>
      <c r="J15" s="8">
        <f t="shared" ca="1" si="3"/>
        <v>543.36</v>
      </c>
      <c r="K15" s="3">
        <f t="shared" ca="1" si="4"/>
        <v>8150.4</v>
      </c>
      <c r="L15" s="11">
        <f t="shared" ca="1" si="5"/>
        <v>6792</v>
      </c>
      <c r="M15">
        <f t="shared" ca="1" si="6"/>
        <v>8150.4</v>
      </c>
    </row>
    <row r="16" spans="1:13" x14ac:dyDescent="0.25">
      <c r="A16" s="3">
        <v>15</v>
      </c>
      <c r="B16" s="3" t="s">
        <v>12</v>
      </c>
      <c r="C16" s="3" t="s">
        <v>27</v>
      </c>
      <c r="D16" s="4">
        <v>46198</v>
      </c>
      <c r="E16" s="6">
        <v>46259</v>
      </c>
      <c r="F16" s="3">
        <f t="shared" ca="1" si="0"/>
        <v>20</v>
      </c>
      <c r="G16" s="3">
        <v>284</v>
      </c>
      <c r="H16" s="3">
        <f t="shared" ca="1" si="1"/>
        <v>5680</v>
      </c>
      <c r="I16" s="8">
        <f t="shared" ca="1" si="2"/>
        <v>681.6</v>
      </c>
      <c r="J16" s="8">
        <f t="shared" ca="1" si="3"/>
        <v>454.40000000000003</v>
      </c>
      <c r="K16" s="3">
        <f t="shared" ca="1" si="4"/>
        <v>6816</v>
      </c>
      <c r="L16" s="11">
        <f t="shared" ca="1" si="5"/>
        <v>5680</v>
      </c>
      <c r="M16">
        <f t="shared" ca="1" si="6"/>
        <v>6816</v>
      </c>
    </row>
    <row r="17" spans="1:13" x14ac:dyDescent="0.25">
      <c r="A17" s="3">
        <v>16</v>
      </c>
      <c r="B17" s="3" t="s">
        <v>12</v>
      </c>
      <c r="C17" s="3" t="s">
        <v>28</v>
      </c>
      <c r="D17" s="4">
        <v>46198</v>
      </c>
      <c r="E17" s="6">
        <v>46259</v>
      </c>
      <c r="F17" s="3">
        <f t="shared" ca="1" si="0"/>
        <v>25</v>
      </c>
      <c r="G17" s="3">
        <v>284</v>
      </c>
      <c r="H17" s="3">
        <f t="shared" ca="1" si="1"/>
        <v>7100</v>
      </c>
      <c r="I17" s="8">
        <f t="shared" ca="1" si="2"/>
        <v>852</v>
      </c>
      <c r="J17" s="8">
        <f t="shared" ca="1" si="3"/>
        <v>568</v>
      </c>
      <c r="K17" s="3">
        <f t="shared" ca="1" si="4"/>
        <v>8520</v>
      </c>
      <c r="L17" s="11">
        <f t="shared" ca="1" si="5"/>
        <v>7100</v>
      </c>
      <c r="M17">
        <f t="shared" ca="1" si="6"/>
        <v>8520</v>
      </c>
    </row>
    <row r="18" spans="1:13" x14ac:dyDescent="0.25">
      <c r="A18" s="7" t="s">
        <v>31</v>
      </c>
      <c r="B18" s="12"/>
      <c r="C18" s="12"/>
      <c r="D18" s="12"/>
      <c r="E18" s="12"/>
      <c r="F18" s="12">
        <f ca="1">SUM(F2:F17)</f>
        <v>398</v>
      </c>
      <c r="G18" s="12">
        <f t="shared" ref="G18:M18" si="7">SUM(G2:G17)</f>
        <v>4439</v>
      </c>
      <c r="H18" s="12">
        <f t="shared" ca="1" si="7"/>
        <v>110359</v>
      </c>
      <c r="I18" s="12">
        <f t="shared" ca="1" si="7"/>
        <v>13243.08</v>
      </c>
      <c r="J18" s="12">
        <f t="shared" ca="1" si="7"/>
        <v>8828.7199999999993</v>
      </c>
      <c r="K18" s="12">
        <f t="shared" ca="1" si="7"/>
        <v>132430.79999999999</v>
      </c>
      <c r="L18" s="12">
        <f t="shared" ca="1" si="7"/>
        <v>110359</v>
      </c>
      <c r="M18" s="12">
        <f t="shared" ca="1" si="7"/>
        <v>132430.79999999999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  <col min="5" max="5" width="9.140625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2026-06-23T14:58:40Z</dcterms:created>
  <dcterms:modified xsi:type="dcterms:W3CDTF">2026-06-25T04:06:57Z</dcterms:modified>
</cp:coreProperties>
</file>